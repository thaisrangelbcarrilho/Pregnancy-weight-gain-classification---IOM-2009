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ais\OneDrive\Desktop\"/>
    </mc:Choice>
  </mc:AlternateContent>
  <xr:revisionPtr revIDLastSave="0" documentId="13_ncr:1_{373B5D77-4F88-4AC2-98A4-902022874121}" xr6:coauthVersionLast="47" xr6:coauthVersionMax="47" xr10:uidLastSave="{00000000-0000-0000-0000-000000000000}"/>
  <bookViews>
    <workbookView xWindow="28680" yWindow="-120" windowWidth="29040" windowHeight="15720" xr2:uid="{78877724-793A-4A4F-8546-6D47EA89F4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8" i="1" l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D87" i="1"/>
  <c r="C87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D59" i="1"/>
  <c r="C59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31" i="1"/>
  <c r="D29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</calcChain>
</file>

<file path=xl/sharedStrings.xml><?xml version="1.0" encoding="utf-8"?>
<sst xmlns="http://schemas.openxmlformats.org/spreadsheetml/2006/main" count="116" uniqueCount="8">
  <si>
    <t>under</t>
  </si>
  <si>
    <t>normal</t>
  </si>
  <si>
    <t>over</t>
  </si>
  <si>
    <t>obesity</t>
  </si>
  <si>
    <t>BMI</t>
  </si>
  <si>
    <t>GA (wks)</t>
  </si>
  <si>
    <t>Lower limit</t>
  </si>
  <si>
    <t xml:space="preserve">Upper limit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</si>
</sst>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3" fillId="0" borderId="1" xfId="0" applyFont="1" applyBorder="1"/>
    <xf numFmtId="2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0FE5-BDCA-4686-80E5-6653BCD5AA9F}">
  <dimension ref="A1:F113"/>
  <sheetViews>
    <sheetView tabSelected="1" workbookViewId="0">
      <selection activeCell="B1" sqref="B1"/>
    </sheetView>
  </sheetViews>
  <sheetFormatPr defaultRowHeight="13.8"/>
  <cols>
    <col min="1" max="1" width="6.59765625" style="2" bestFit="1" customWidth="1"/>
    <col min="2" max="2" width="8.3984375" style="2" bestFit="1" customWidth="1"/>
    <col min="3" max="3" width="9.59765625" style="3" bestFit="1" customWidth="1"/>
    <col min="4" max="4" width="10" style="3" bestFit="1" customWidth="1"/>
  </cols>
  <sheetData>
    <row r="1" spans="1:6" ht="18.75" customHeight="1">
      <c r="A1" s="4" t="s">
        <v>4</v>
      </c>
      <c r="B1" s="4" t="s">
        <v>5</v>
      </c>
      <c r="C1" s="5" t="s">
        <v>6</v>
      </c>
      <c r="D1" s="5" t="s">
        <v>7</v>
      </c>
    </row>
    <row r="2" spans="1:6">
      <c r="A2" s="4" t="s">
        <v>0</v>
      </c>
      <c r="B2" s="4">
        <v>13</v>
      </c>
      <c r="C2" s="5">
        <f t="shared" ref="C2:C28" si="0" xml:space="preserve"> (B2 - 13)  * ((12.5-0.5)/27) + 0.5</f>
        <v>0.5</v>
      </c>
      <c r="D2" s="5">
        <f t="shared" ref="D2:D28" si="1" xml:space="preserve"> (B2 - 13)  * ((18-2)/27) + 2</f>
        <v>2</v>
      </c>
    </row>
    <row r="3" spans="1:6">
      <c r="A3" s="4" t="s">
        <v>0</v>
      </c>
      <c r="B3" s="4">
        <v>14</v>
      </c>
      <c r="C3" s="5">
        <f t="shared" si="0"/>
        <v>0.94444444444444442</v>
      </c>
      <c r="D3" s="5">
        <f t="shared" si="1"/>
        <v>2.5925925925925926</v>
      </c>
      <c r="F3" s="1"/>
    </row>
    <row r="4" spans="1:6">
      <c r="A4" s="4" t="s">
        <v>0</v>
      </c>
      <c r="B4" s="4">
        <v>15</v>
      </c>
      <c r="C4" s="5">
        <f t="shared" si="0"/>
        <v>1.3888888888888888</v>
      </c>
      <c r="D4" s="5">
        <f t="shared" si="1"/>
        <v>3.1851851851851851</v>
      </c>
    </row>
    <row r="5" spans="1:6">
      <c r="A5" s="4" t="s">
        <v>0</v>
      </c>
      <c r="B5" s="4">
        <v>16</v>
      </c>
      <c r="C5" s="5">
        <f t="shared" si="0"/>
        <v>1.8333333333333333</v>
      </c>
      <c r="D5" s="5">
        <f t="shared" si="1"/>
        <v>3.7777777777777777</v>
      </c>
    </row>
    <row r="6" spans="1:6">
      <c r="A6" s="4" t="s">
        <v>0</v>
      </c>
      <c r="B6" s="4">
        <v>17</v>
      </c>
      <c r="C6" s="5">
        <f t="shared" si="0"/>
        <v>2.2777777777777777</v>
      </c>
      <c r="D6" s="5">
        <f t="shared" si="1"/>
        <v>4.3703703703703702</v>
      </c>
    </row>
    <row r="7" spans="1:6">
      <c r="A7" s="4" t="s">
        <v>0</v>
      </c>
      <c r="B7" s="4">
        <v>18</v>
      </c>
      <c r="C7" s="5">
        <f t="shared" si="0"/>
        <v>2.7222222222222223</v>
      </c>
      <c r="D7" s="5">
        <f t="shared" si="1"/>
        <v>4.9629629629629628</v>
      </c>
    </row>
    <row r="8" spans="1:6">
      <c r="A8" s="4" t="s">
        <v>0</v>
      </c>
      <c r="B8" s="4">
        <v>19</v>
      </c>
      <c r="C8" s="5">
        <f t="shared" si="0"/>
        <v>3.1666666666666665</v>
      </c>
      <c r="D8" s="5">
        <f t="shared" si="1"/>
        <v>5.5555555555555554</v>
      </c>
    </row>
    <row r="9" spans="1:6">
      <c r="A9" s="4" t="s">
        <v>0</v>
      </c>
      <c r="B9" s="4">
        <v>20</v>
      </c>
      <c r="C9" s="5">
        <f t="shared" si="0"/>
        <v>3.6111111111111107</v>
      </c>
      <c r="D9" s="5">
        <f t="shared" si="1"/>
        <v>6.1481481481481479</v>
      </c>
    </row>
    <row r="10" spans="1:6">
      <c r="A10" s="4" t="s">
        <v>0</v>
      </c>
      <c r="B10" s="4">
        <v>21</v>
      </c>
      <c r="C10" s="5">
        <f t="shared" si="0"/>
        <v>4.0555555555555554</v>
      </c>
      <c r="D10" s="5">
        <f t="shared" si="1"/>
        <v>6.7407407407407405</v>
      </c>
    </row>
    <row r="11" spans="1:6">
      <c r="A11" s="4" t="s">
        <v>0</v>
      </c>
      <c r="B11" s="4">
        <v>22</v>
      </c>
      <c r="C11" s="5">
        <f t="shared" si="0"/>
        <v>4.5</v>
      </c>
      <c r="D11" s="5">
        <f t="shared" si="1"/>
        <v>7.333333333333333</v>
      </c>
    </row>
    <row r="12" spans="1:6">
      <c r="A12" s="4" t="s">
        <v>0</v>
      </c>
      <c r="B12" s="4">
        <v>23</v>
      </c>
      <c r="C12" s="5">
        <f t="shared" si="0"/>
        <v>4.9444444444444446</v>
      </c>
      <c r="D12" s="5">
        <f t="shared" si="1"/>
        <v>7.9259259259259256</v>
      </c>
    </row>
    <row r="13" spans="1:6">
      <c r="A13" s="4" t="s">
        <v>0</v>
      </c>
      <c r="B13" s="4">
        <v>24</v>
      </c>
      <c r="C13" s="5">
        <f t="shared" si="0"/>
        <v>5.3888888888888884</v>
      </c>
      <c r="D13" s="5">
        <f t="shared" si="1"/>
        <v>8.518518518518519</v>
      </c>
    </row>
    <row r="14" spans="1:6">
      <c r="A14" s="4" t="s">
        <v>0</v>
      </c>
      <c r="B14" s="4">
        <v>25</v>
      </c>
      <c r="C14" s="5">
        <f t="shared" si="0"/>
        <v>5.833333333333333</v>
      </c>
      <c r="D14" s="5">
        <f t="shared" si="1"/>
        <v>9.1111111111111107</v>
      </c>
    </row>
    <row r="15" spans="1:6">
      <c r="A15" s="4" t="s">
        <v>0</v>
      </c>
      <c r="B15" s="4">
        <v>26</v>
      </c>
      <c r="C15" s="5">
        <f t="shared" si="0"/>
        <v>6.2777777777777777</v>
      </c>
      <c r="D15" s="5">
        <f t="shared" si="1"/>
        <v>9.7037037037037024</v>
      </c>
    </row>
    <row r="16" spans="1:6">
      <c r="A16" s="4" t="s">
        <v>0</v>
      </c>
      <c r="B16" s="4">
        <v>27</v>
      </c>
      <c r="C16" s="5">
        <f t="shared" si="0"/>
        <v>6.7222222222222214</v>
      </c>
      <c r="D16" s="5">
        <f t="shared" si="1"/>
        <v>10.296296296296296</v>
      </c>
    </row>
    <row r="17" spans="1:6">
      <c r="A17" s="4" t="s">
        <v>0</v>
      </c>
      <c r="B17" s="4">
        <v>28</v>
      </c>
      <c r="C17" s="5">
        <f t="shared" si="0"/>
        <v>7.1666666666666661</v>
      </c>
      <c r="D17" s="5">
        <f t="shared" si="1"/>
        <v>10.888888888888889</v>
      </c>
    </row>
    <row r="18" spans="1:6">
      <c r="A18" s="4" t="s">
        <v>0</v>
      </c>
      <c r="B18" s="4">
        <v>29</v>
      </c>
      <c r="C18" s="5">
        <f t="shared" si="0"/>
        <v>7.6111111111111107</v>
      </c>
      <c r="D18" s="5">
        <f t="shared" si="1"/>
        <v>11.481481481481481</v>
      </c>
    </row>
    <row r="19" spans="1:6">
      <c r="A19" s="4" t="s">
        <v>0</v>
      </c>
      <c r="B19" s="4">
        <v>30</v>
      </c>
      <c r="C19" s="5">
        <f t="shared" si="0"/>
        <v>8.0555555555555554</v>
      </c>
      <c r="D19" s="5">
        <f t="shared" si="1"/>
        <v>12.074074074074073</v>
      </c>
    </row>
    <row r="20" spans="1:6">
      <c r="A20" s="4" t="s">
        <v>0</v>
      </c>
      <c r="B20" s="4">
        <v>31</v>
      </c>
      <c r="C20" s="5">
        <f t="shared" si="0"/>
        <v>8.5</v>
      </c>
      <c r="D20" s="5">
        <f t="shared" si="1"/>
        <v>12.666666666666666</v>
      </c>
    </row>
    <row r="21" spans="1:6">
      <c r="A21" s="4" t="s">
        <v>0</v>
      </c>
      <c r="B21" s="4">
        <v>32</v>
      </c>
      <c r="C21" s="5">
        <f t="shared" si="0"/>
        <v>8.9444444444444446</v>
      </c>
      <c r="D21" s="5">
        <f t="shared" si="1"/>
        <v>13.25925925925926</v>
      </c>
    </row>
    <row r="22" spans="1:6">
      <c r="A22" s="4" t="s">
        <v>0</v>
      </c>
      <c r="B22" s="4">
        <v>33</v>
      </c>
      <c r="C22" s="5">
        <f t="shared" si="0"/>
        <v>9.3888888888888893</v>
      </c>
      <c r="D22" s="5">
        <f t="shared" si="1"/>
        <v>13.851851851851851</v>
      </c>
    </row>
    <row r="23" spans="1:6">
      <c r="A23" s="4" t="s">
        <v>0</v>
      </c>
      <c r="B23" s="4">
        <v>34</v>
      </c>
      <c r="C23" s="5">
        <f t="shared" si="0"/>
        <v>9.8333333333333321</v>
      </c>
      <c r="D23" s="5">
        <f t="shared" si="1"/>
        <v>14.444444444444443</v>
      </c>
    </row>
    <row r="24" spans="1:6">
      <c r="A24" s="4" t="s">
        <v>0</v>
      </c>
      <c r="B24" s="4">
        <v>35</v>
      </c>
      <c r="C24" s="5">
        <f t="shared" si="0"/>
        <v>10.277777777777777</v>
      </c>
      <c r="D24" s="5">
        <f t="shared" si="1"/>
        <v>15.037037037037036</v>
      </c>
    </row>
    <row r="25" spans="1:6">
      <c r="A25" s="4" t="s">
        <v>0</v>
      </c>
      <c r="B25" s="4">
        <v>36</v>
      </c>
      <c r="C25" s="5">
        <f t="shared" si="0"/>
        <v>10.722222222222221</v>
      </c>
      <c r="D25" s="5">
        <f t="shared" si="1"/>
        <v>15.62962962962963</v>
      </c>
    </row>
    <row r="26" spans="1:6">
      <c r="A26" s="4" t="s">
        <v>0</v>
      </c>
      <c r="B26" s="4">
        <v>37</v>
      </c>
      <c r="C26" s="5">
        <f t="shared" si="0"/>
        <v>11.166666666666666</v>
      </c>
      <c r="D26" s="5">
        <f t="shared" si="1"/>
        <v>16.222222222222221</v>
      </c>
    </row>
    <row r="27" spans="1:6">
      <c r="A27" s="4" t="s">
        <v>0</v>
      </c>
      <c r="B27" s="4">
        <v>38</v>
      </c>
      <c r="C27" s="5">
        <f t="shared" si="0"/>
        <v>11.611111111111111</v>
      </c>
      <c r="D27" s="5">
        <f t="shared" si="1"/>
        <v>16.814814814814813</v>
      </c>
    </row>
    <row r="28" spans="1:6">
      <c r="A28" s="4" t="s">
        <v>0</v>
      </c>
      <c r="B28" s="4">
        <v>39</v>
      </c>
      <c r="C28" s="5">
        <f t="shared" si="0"/>
        <v>12.055555555555555</v>
      </c>
      <c r="D28" s="5">
        <f t="shared" si="1"/>
        <v>17.407407407407405</v>
      </c>
    </row>
    <row r="29" spans="1:6">
      <c r="A29" s="4" t="s">
        <v>0</v>
      </c>
      <c r="B29" s="4">
        <v>40</v>
      </c>
      <c r="C29" s="5">
        <f xml:space="preserve"> (B29 - 13)  * ((12.5-0.5)/27) + 0.5</f>
        <v>12.5</v>
      </c>
      <c r="D29" s="5">
        <f xml:space="preserve"> (B29 - 13)  * ((18-2)/27) + 2</f>
        <v>18</v>
      </c>
    </row>
    <row r="30" spans="1:6">
      <c r="A30" s="4" t="s">
        <v>1</v>
      </c>
      <c r="B30" s="4">
        <v>13</v>
      </c>
      <c r="C30" s="5">
        <v>0.5</v>
      </c>
      <c r="D30" s="5">
        <v>2</v>
      </c>
    </row>
    <row r="31" spans="1:6">
      <c r="A31" s="4" t="s">
        <v>1</v>
      </c>
      <c r="B31" s="4">
        <v>14</v>
      </c>
      <c r="C31" s="5">
        <f xml:space="preserve"> (B31 - 13)  * ((11.5-0.5)/27) + 0.5</f>
        <v>0.90740740740740744</v>
      </c>
      <c r="D31" s="5">
        <f xml:space="preserve"> (B31 - 13)  * ((16-2)/27) + 2</f>
        <v>2.5185185185185186</v>
      </c>
      <c r="F31" s="1"/>
    </row>
    <row r="32" spans="1:6">
      <c r="A32" s="4" t="s">
        <v>1</v>
      </c>
      <c r="B32" s="4">
        <v>15</v>
      </c>
      <c r="C32" s="5">
        <f t="shared" ref="C32:C57" si="2" xml:space="preserve"> (B32 - 13)  * ((11.5-0.5)/27) + 0.5</f>
        <v>1.3148148148148149</v>
      </c>
      <c r="D32" s="5">
        <f t="shared" ref="D32:D57" si="3" xml:space="preserve"> (B32 - 13)  * ((16-2)/27) + 2</f>
        <v>3.0370370370370372</v>
      </c>
    </row>
    <row r="33" spans="1:4">
      <c r="A33" s="4" t="s">
        <v>1</v>
      </c>
      <c r="B33" s="4">
        <v>16</v>
      </c>
      <c r="C33" s="5">
        <f t="shared" si="2"/>
        <v>1.7222222222222221</v>
      </c>
      <c r="D33" s="5">
        <f t="shared" si="3"/>
        <v>3.5555555555555554</v>
      </c>
    </row>
    <row r="34" spans="1:4">
      <c r="A34" s="4" t="s">
        <v>1</v>
      </c>
      <c r="B34" s="4">
        <v>17</v>
      </c>
      <c r="C34" s="5">
        <f t="shared" si="2"/>
        <v>2.1296296296296298</v>
      </c>
      <c r="D34" s="5">
        <f t="shared" si="3"/>
        <v>4.0740740740740744</v>
      </c>
    </row>
    <row r="35" spans="1:4">
      <c r="A35" s="4" t="s">
        <v>1</v>
      </c>
      <c r="B35" s="4">
        <v>18</v>
      </c>
      <c r="C35" s="5">
        <f t="shared" si="2"/>
        <v>2.5370370370370368</v>
      </c>
      <c r="D35" s="5">
        <f t="shared" si="3"/>
        <v>4.5925925925925926</v>
      </c>
    </row>
    <row r="36" spans="1:4">
      <c r="A36" s="4" t="s">
        <v>1</v>
      </c>
      <c r="B36" s="4">
        <v>19</v>
      </c>
      <c r="C36" s="5">
        <f t="shared" si="2"/>
        <v>2.9444444444444442</v>
      </c>
      <c r="D36" s="5">
        <f t="shared" si="3"/>
        <v>5.1111111111111107</v>
      </c>
    </row>
    <row r="37" spans="1:4">
      <c r="A37" s="4" t="s">
        <v>1</v>
      </c>
      <c r="B37" s="4">
        <v>20</v>
      </c>
      <c r="C37" s="5">
        <f t="shared" si="2"/>
        <v>3.3518518518518516</v>
      </c>
      <c r="D37" s="5">
        <f t="shared" si="3"/>
        <v>5.6296296296296298</v>
      </c>
    </row>
    <row r="38" spans="1:4">
      <c r="A38" s="4" t="s">
        <v>1</v>
      </c>
      <c r="B38" s="4">
        <v>21</v>
      </c>
      <c r="C38" s="5">
        <f t="shared" si="2"/>
        <v>3.7592592592592591</v>
      </c>
      <c r="D38" s="5">
        <f t="shared" si="3"/>
        <v>6.1481481481481479</v>
      </c>
    </row>
    <row r="39" spans="1:4">
      <c r="A39" s="4" t="s">
        <v>1</v>
      </c>
      <c r="B39" s="4">
        <v>22</v>
      </c>
      <c r="C39" s="5">
        <f t="shared" si="2"/>
        <v>4.1666666666666661</v>
      </c>
      <c r="D39" s="5">
        <f t="shared" si="3"/>
        <v>6.6666666666666661</v>
      </c>
    </row>
    <row r="40" spans="1:4">
      <c r="A40" s="4" t="s">
        <v>1</v>
      </c>
      <c r="B40" s="4">
        <v>23</v>
      </c>
      <c r="C40" s="5">
        <f t="shared" si="2"/>
        <v>4.5740740740740735</v>
      </c>
      <c r="D40" s="5">
        <f t="shared" si="3"/>
        <v>7.1851851851851851</v>
      </c>
    </row>
    <row r="41" spans="1:4">
      <c r="A41" s="4" t="s">
        <v>1</v>
      </c>
      <c r="B41" s="4">
        <v>24</v>
      </c>
      <c r="C41" s="5">
        <f t="shared" si="2"/>
        <v>4.981481481481481</v>
      </c>
      <c r="D41" s="5">
        <f t="shared" si="3"/>
        <v>7.7037037037037033</v>
      </c>
    </row>
    <row r="42" spans="1:4">
      <c r="A42" s="4" t="s">
        <v>1</v>
      </c>
      <c r="B42" s="4">
        <v>25</v>
      </c>
      <c r="C42" s="5">
        <f t="shared" si="2"/>
        <v>5.3888888888888884</v>
      </c>
      <c r="D42" s="5">
        <f t="shared" si="3"/>
        <v>8.2222222222222214</v>
      </c>
    </row>
    <row r="43" spans="1:4">
      <c r="A43" s="4" t="s">
        <v>1</v>
      </c>
      <c r="B43" s="4">
        <v>26</v>
      </c>
      <c r="C43" s="5">
        <f t="shared" si="2"/>
        <v>5.7962962962962958</v>
      </c>
      <c r="D43" s="5">
        <f t="shared" si="3"/>
        <v>8.7407407407407405</v>
      </c>
    </row>
    <row r="44" spans="1:4">
      <c r="A44" s="4" t="s">
        <v>1</v>
      </c>
      <c r="B44" s="4">
        <v>27</v>
      </c>
      <c r="C44" s="5">
        <f t="shared" si="2"/>
        <v>6.2037037037037033</v>
      </c>
      <c r="D44" s="5">
        <f t="shared" si="3"/>
        <v>9.2592592592592595</v>
      </c>
    </row>
    <row r="45" spans="1:4">
      <c r="A45" s="4" t="s">
        <v>1</v>
      </c>
      <c r="B45" s="4">
        <v>28</v>
      </c>
      <c r="C45" s="5">
        <f t="shared" si="2"/>
        <v>6.6111111111111107</v>
      </c>
      <c r="D45" s="5">
        <f t="shared" si="3"/>
        <v>9.7777777777777786</v>
      </c>
    </row>
    <row r="46" spans="1:4">
      <c r="A46" s="4" t="s">
        <v>1</v>
      </c>
      <c r="B46" s="4">
        <v>29</v>
      </c>
      <c r="C46" s="5">
        <f t="shared" si="2"/>
        <v>7.0185185185185182</v>
      </c>
      <c r="D46" s="5">
        <f t="shared" si="3"/>
        <v>10.296296296296296</v>
      </c>
    </row>
    <row r="47" spans="1:4">
      <c r="A47" s="4" t="s">
        <v>1</v>
      </c>
      <c r="B47" s="4">
        <v>30</v>
      </c>
      <c r="C47" s="5">
        <f t="shared" si="2"/>
        <v>7.4259259259259256</v>
      </c>
      <c r="D47" s="5">
        <f t="shared" si="3"/>
        <v>10.814814814814815</v>
      </c>
    </row>
    <row r="48" spans="1:4">
      <c r="A48" s="4" t="s">
        <v>1</v>
      </c>
      <c r="B48" s="4">
        <v>31</v>
      </c>
      <c r="C48" s="5">
        <f t="shared" si="2"/>
        <v>7.833333333333333</v>
      </c>
      <c r="D48" s="5">
        <f t="shared" si="3"/>
        <v>11.333333333333332</v>
      </c>
    </row>
    <row r="49" spans="1:6">
      <c r="A49" s="4" t="s">
        <v>1</v>
      </c>
      <c r="B49" s="4">
        <v>32</v>
      </c>
      <c r="C49" s="5">
        <f t="shared" si="2"/>
        <v>8.2407407407407405</v>
      </c>
      <c r="D49" s="5">
        <f t="shared" si="3"/>
        <v>11.851851851851851</v>
      </c>
    </row>
    <row r="50" spans="1:6">
      <c r="A50" s="4" t="s">
        <v>1</v>
      </c>
      <c r="B50" s="4">
        <v>33</v>
      </c>
      <c r="C50" s="5">
        <f t="shared" si="2"/>
        <v>8.648148148148147</v>
      </c>
      <c r="D50" s="5">
        <f t="shared" si="3"/>
        <v>12.37037037037037</v>
      </c>
    </row>
    <row r="51" spans="1:6">
      <c r="A51" s="4" t="s">
        <v>1</v>
      </c>
      <c r="B51" s="4">
        <v>34</v>
      </c>
      <c r="C51" s="5">
        <f t="shared" si="2"/>
        <v>9.0555555555555554</v>
      </c>
      <c r="D51" s="5">
        <f t="shared" si="3"/>
        <v>12.888888888888888</v>
      </c>
    </row>
    <row r="52" spans="1:6">
      <c r="A52" s="4" t="s">
        <v>1</v>
      </c>
      <c r="B52" s="4">
        <v>35</v>
      </c>
      <c r="C52" s="5">
        <f t="shared" si="2"/>
        <v>9.4629629629629619</v>
      </c>
      <c r="D52" s="5">
        <f t="shared" si="3"/>
        <v>13.407407407407407</v>
      </c>
    </row>
    <row r="53" spans="1:6">
      <c r="A53" s="4" t="s">
        <v>1</v>
      </c>
      <c r="B53" s="4">
        <v>36</v>
      </c>
      <c r="C53" s="5">
        <f t="shared" si="2"/>
        <v>9.8703703703703702</v>
      </c>
      <c r="D53" s="5">
        <f t="shared" si="3"/>
        <v>13.925925925925926</v>
      </c>
    </row>
    <row r="54" spans="1:6">
      <c r="A54" s="4" t="s">
        <v>1</v>
      </c>
      <c r="B54" s="4">
        <v>37</v>
      </c>
      <c r="C54" s="5">
        <f t="shared" si="2"/>
        <v>10.277777777777777</v>
      </c>
      <c r="D54" s="5">
        <f t="shared" si="3"/>
        <v>14.444444444444443</v>
      </c>
    </row>
    <row r="55" spans="1:6">
      <c r="A55" s="4" t="s">
        <v>1</v>
      </c>
      <c r="B55" s="4">
        <v>38</v>
      </c>
      <c r="C55" s="5">
        <f t="shared" si="2"/>
        <v>10.685185185185185</v>
      </c>
      <c r="D55" s="5">
        <f t="shared" si="3"/>
        <v>14.962962962962962</v>
      </c>
    </row>
    <row r="56" spans="1:6">
      <c r="A56" s="4" t="s">
        <v>1</v>
      </c>
      <c r="B56" s="4">
        <v>39</v>
      </c>
      <c r="C56" s="5">
        <f t="shared" si="2"/>
        <v>11.092592592592592</v>
      </c>
      <c r="D56" s="5">
        <f t="shared" si="3"/>
        <v>15.481481481481481</v>
      </c>
    </row>
    <row r="57" spans="1:6">
      <c r="A57" s="4" t="s">
        <v>1</v>
      </c>
      <c r="B57" s="4">
        <v>40</v>
      </c>
      <c r="C57" s="5">
        <f t="shared" si="2"/>
        <v>11.5</v>
      </c>
      <c r="D57" s="5">
        <f t="shared" si="3"/>
        <v>16</v>
      </c>
    </row>
    <row r="58" spans="1:6">
      <c r="A58" s="4" t="s">
        <v>2</v>
      </c>
      <c r="B58" s="4">
        <v>13</v>
      </c>
      <c r="C58" s="5">
        <v>0.5</v>
      </c>
      <c r="D58" s="5">
        <v>2</v>
      </c>
    </row>
    <row r="59" spans="1:6">
      <c r="A59" s="4" t="s">
        <v>2</v>
      </c>
      <c r="B59" s="4">
        <v>14</v>
      </c>
      <c r="C59" s="5">
        <f xml:space="preserve"> (B59 - 13)  * ((7-0.5)/27) + 0.5</f>
        <v>0.7407407407407407</v>
      </c>
      <c r="D59" s="5">
        <f xml:space="preserve"> (B59 - 13)  * ((11.5-2)/27) + 2</f>
        <v>2.3518518518518521</v>
      </c>
    </row>
    <row r="60" spans="1:6">
      <c r="A60" s="4" t="s">
        <v>2</v>
      </c>
      <c r="B60" s="4">
        <v>15</v>
      </c>
      <c r="C60" s="5">
        <f t="shared" ref="C60:C85" si="4" xml:space="preserve"> (B60 - 13)  * ((7-0.5)/27) + 0.5</f>
        <v>0.9814814814814814</v>
      </c>
      <c r="D60" s="5">
        <f t="shared" ref="D60:D85" si="5" xml:space="preserve"> (B60 - 13)  * ((11.5-2)/27) + 2</f>
        <v>2.7037037037037037</v>
      </c>
    </row>
    <row r="61" spans="1:6">
      <c r="A61" s="4" t="s">
        <v>2</v>
      </c>
      <c r="B61" s="4">
        <v>16</v>
      </c>
      <c r="C61" s="5">
        <f t="shared" si="4"/>
        <v>1.2222222222222223</v>
      </c>
      <c r="D61" s="5">
        <f t="shared" si="5"/>
        <v>3.0555555555555554</v>
      </c>
      <c r="F61" s="1"/>
    </row>
    <row r="62" spans="1:6">
      <c r="A62" s="4" t="s">
        <v>2</v>
      </c>
      <c r="B62" s="4">
        <v>17</v>
      </c>
      <c r="C62" s="5">
        <f t="shared" si="4"/>
        <v>1.4629629629629628</v>
      </c>
      <c r="D62" s="5">
        <f t="shared" si="5"/>
        <v>3.4074074074074074</v>
      </c>
    </row>
    <row r="63" spans="1:6">
      <c r="A63" s="4" t="s">
        <v>2</v>
      </c>
      <c r="B63" s="4">
        <v>18</v>
      </c>
      <c r="C63" s="5">
        <f t="shared" si="4"/>
        <v>1.7037037037037037</v>
      </c>
      <c r="D63" s="5">
        <f t="shared" si="5"/>
        <v>3.7592592592592595</v>
      </c>
    </row>
    <row r="64" spans="1:6">
      <c r="A64" s="4" t="s">
        <v>2</v>
      </c>
      <c r="B64" s="4">
        <v>19</v>
      </c>
      <c r="C64" s="5">
        <f t="shared" si="4"/>
        <v>1.9444444444444444</v>
      </c>
      <c r="D64" s="5">
        <f t="shared" si="5"/>
        <v>4.1111111111111107</v>
      </c>
    </row>
    <row r="65" spans="1:4">
      <c r="A65" s="4" t="s">
        <v>2</v>
      </c>
      <c r="B65" s="4">
        <v>20</v>
      </c>
      <c r="C65" s="5">
        <f t="shared" si="4"/>
        <v>2.1851851851851851</v>
      </c>
      <c r="D65" s="5">
        <f t="shared" si="5"/>
        <v>4.4629629629629628</v>
      </c>
    </row>
    <row r="66" spans="1:4">
      <c r="A66" s="4" t="s">
        <v>2</v>
      </c>
      <c r="B66" s="4">
        <v>21</v>
      </c>
      <c r="C66" s="5">
        <f t="shared" si="4"/>
        <v>2.4259259259259256</v>
      </c>
      <c r="D66" s="5">
        <f t="shared" si="5"/>
        <v>4.8148148148148149</v>
      </c>
    </row>
    <row r="67" spans="1:4">
      <c r="A67" s="4" t="s">
        <v>2</v>
      </c>
      <c r="B67" s="4">
        <v>22</v>
      </c>
      <c r="C67" s="5">
        <f t="shared" si="4"/>
        <v>2.6666666666666665</v>
      </c>
      <c r="D67" s="5">
        <f t="shared" si="5"/>
        <v>5.166666666666667</v>
      </c>
    </row>
    <row r="68" spans="1:4">
      <c r="A68" s="4" t="s">
        <v>2</v>
      </c>
      <c r="B68" s="4">
        <v>23</v>
      </c>
      <c r="C68" s="5">
        <f t="shared" si="4"/>
        <v>2.9074074074074074</v>
      </c>
      <c r="D68" s="5">
        <f t="shared" si="5"/>
        <v>5.518518518518519</v>
      </c>
    </row>
    <row r="69" spans="1:4">
      <c r="A69" s="4" t="s">
        <v>2</v>
      </c>
      <c r="B69" s="4">
        <v>24</v>
      </c>
      <c r="C69" s="5">
        <f t="shared" si="4"/>
        <v>3.1481481481481479</v>
      </c>
      <c r="D69" s="5">
        <f t="shared" si="5"/>
        <v>5.8703703703703702</v>
      </c>
    </row>
    <row r="70" spans="1:4">
      <c r="A70" s="4" t="s">
        <v>2</v>
      </c>
      <c r="B70" s="4">
        <v>25</v>
      </c>
      <c r="C70" s="5">
        <f t="shared" si="4"/>
        <v>3.3888888888888888</v>
      </c>
      <c r="D70" s="5">
        <f t="shared" si="5"/>
        <v>6.2222222222222223</v>
      </c>
    </row>
    <row r="71" spans="1:4">
      <c r="A71" s="4" t="s">
        <v>2</v>
      </c>
      <c r="B71" s="4">
        <v>26</v>
      </c>
      <c r="C71" s="5">
        <f t="shared" si="4"/>
        <v>3.6296296296296293</v>
      </c>
      <c r="D71" s="5">
        <f t="shared" si="5"/>
        <v>6.5740740740740744</v>
      </c>
    </row>
    <row r="72" spans="1:4">
      <c r="A72" s="4" t="s">
        <v>2</v>
      </c>
      <c r="B72" s="4">
        <v>27</v>
      </c>
      <c r="C72" s="5">
        <f t="shared" si="4"/>
        <v>3.8703703703703702</v>
      </c>
      <c r="D72" s="5">
        <f t="shared" si="5"/>
        <v>6.9259259259259256</v>
      </c>
    </row>
    <row r="73" spans="1:4">
      <c r="A73" s="4" t="s">
        <v>2</v>
      </c>
      <c r="B73" s="4">
        <v>28</v>
      </c>
      <c r="C73" s="5">
        <f t="shared" si="4"/>
        <v>4.1111111111111107</v>
      </c>
      <c r="D73" s="5">
        <f t="shared" si="5"/>
        <v>7.2777777777777777</v>
      </c>
    </row>
    <row r="74" spans="1:4">
      <c r="A74" s="4" t="s">
        <v>2</v>
      </c>
      <c r="B74" s="4">
        <v>29</v>
      </c>
      <c r="C74" s="5">
        <f t="shared" si="4"/>
        <v>4.3518518518518512</v>
      </c>
      <c r="D74" s="5">
        <f t="shared" si="5"/>
        <v>7.6296296296296298</v>
      </c>
    </row>
    <row r="75" spans="1:4">
      <c r="A75" s="4" t="s">
        <v>2</v>
      </c>
      <c r="B75" s="4">
        <v>30</v>
      </c>
      <c r="C75" s="5">
        <f t="shared" si="4"/>
        <v>4.5925925925925926</v>
      </c>
      <c r="D75" s="5">
        <f t="shared" si="5"/>
        <v>7.9814814814814818</v>
      </c>
    </row>
    <row r="76" spans="1:4">
      <c r="A76" s="4" t="s">
        <v>2</v>
      </c>
      <c r="B76" s="4">
        <v>31</v>
      </c>
      <c r="C76" s="5">
        <f t="shared" si="4"/>
        <v>4.833333333333333</v>
      </c>
      <c r="D76" s="5">
        <f t="shared" si="5"/>
        <v>8.3333333333333339</v>
      </c>
    </row>
    <row r="77" spans="1:4">
      <c r="A77" s="4" t="s">
        <v>2</v>
      </c>
      <c r="B77" s="4">
        <v>32</v>
      </c>
      <c r="C77" s="5">
        <f t="shared" si="4"/>
        <v>5.0740740740740735</v>
      </c>
      <c r="D77" s="5">
        <f t="shared" si="5"/>
        <v>8.6851851851851851</v>
      </c>
    </row>
    <row r="78" spans="1:4">
      <c r="A78" s="4" t="s">
        <v>2</v>
      </c>
      <c r="B78" s="4">
        <v>33</v>
      </c>
      <c r="C78" s="5">
        <f t="shared" si="4"/>
        <v>5.3148148148148149</v>
      </c>
      <c r="D78" s="5">
        <f t="shared" si="5"/>
        <v>9.0370370370370381</v>
      </c>
    </row>
    <row r="79" spans="1:4">
      <c r="A79" s="4" t="s">
        <v>2</v>
      </c>
      <c r="B79" s="4">
        <v>34</v>
      </c>
      <c r="C79" s="5">
        <f t="shared" si="4"/>
        <v>5.5555555555555554</v>
      </c>
      <c r="D79" s="5">
        <f t="shared" si="5"/>
        <v>9.3888888888888893</v>
      </c>
    </row>
    <row r="80" spans="1:4">
      <c r="A80" s="4" t="s">
        <v>2</v>
      </c>
      <c r="B80" s="4">
        <v>35</v>
      </c>
      <c r="C80" s="5">
        <f t="shared" si="4"/>
        <v>5.7962962962962958</v>
      </c>
      <c r="D80" s="5">
        <f t="shared" si="5"/>
        <v>9.7407407407407405</v>
      </c>
    </row>
    <row r="81" spans="1:6">
      <c r="A81" s="4" t="s">
        <v>2</v>
      </c>
      <c r="B81" s="4">
        <v>36</v>
      </c>
      <c r="C81" s="5">
        <f t="shared" si="4"/>
        <v>6.0370370370370363</v>
      </c>
      <c r="D81" s="5">
        <f t="shared" si="5"/>
        <v>10.092592592592593</v>
      </c>
    </row>
    <row r="82" spans="1:6">
      <c r="A82" s="4" t="s">
        <v>2</v>
      </c>
      <c r="B82" s="4">
        <v>37</v>
      </c>
      <c r="C82" s="5">
        <f t="shared" si="4"/>
        <v>6.2777777777777777</v>
      </c>
      <c r="D82" s="5">
        <f t="shared" si="5"/>
        <v>10.444444444444445</v>
      </c>
    </row>
    <row r="83" spans="1:6">
      <c r="A83" s="4" t="s">
        <v>2</v>
      </c>
      <c r="B83" s="4">
        <v>38</v>
      </c>
      <c r="C83" s="5">
        <f t="shared" si="4"/>
        <v>6.5185185185185182</v>
      </c>
      <c r="D83" s="5">
        <f t="shared" si="5"/>
        <v>10.796296296296296</v>
      </c>
    </row>
    <row r="84" spans="1:6">
      <c r="A84" s="4" t="s">
        <v>2</v>
      </c>
      <c r="B84" s="4">
        <v>39</v>
      </c>
      <c r="C84" s="5">
        <f t="shared" si="4"/>
        <v>6.7592592592592586</v>
      </c>
      <c r="D84" s="5">
        <f t="shared" si="5"/>
        <v>11.148148148148149</v>
      </c>
    </row>
    <row r="85" spans="1:6">
      <c r="A85" s="4" t="s">
        <v>2</v>
      </c>
      <c r="B85" s="4">
        <v>40</v>
      </c>
      <c r="C85" s="5">
        <f t="shared" si="4"/>
        <v>7</v>
      </c>
      <c r="D85" s="5">
        <f t="shared" si="5"/>
        <v>11.5</v>
      </c>
    </row>
    <row r="86" spans="1:6">
      <c r="A86" s="4" t="s">
        <v>3</v>
      </c>
      <c r="B86" s="4">
        <v>13</v>
      </c>
      <c r="C86" s="5">
        <v>0.5</v>
      </c>
      <c r="D86" s="5">
        <v>2</v>
      </c>
    </row>
    <row r="87" spans="1:6">
      <c r="A87" s="4" t="s">
        <v>3</v>
      </c>
      <c r="B87" s="4">
        <v>14</v>
      </c>
      <c r="C87" s="5">
        <f xml:space="preserve"> (B87 - 13)  * ((5-0.5)/27) + 0.5</f>
        <v>0.66666666666666663</v>
      </c>
      <c r="D87" s="5">
        <f xml:space="preserve"> (B87 - 13)  * ((9-2)/27) + 2</f>
        <v>2.2592592592592591</v>
      </c>
      <c r="F87" s="1"/>
    </row>
    <row r="88" spans="1:6">
      <c r="A88" s="4" t="s">
        <v>3</v>
      </c>
      <c r="B88" s="4">
        <v>15</v>
      </c>
      <c r="C88" s="5">
        <f t="shared" ref="C88:C113" si="6" xml:space="preserve"> (B88 - 13)  * ((5-0.5)/27) + 0.5</f>
        <v>0.83333333333333326</v>
      </c>
      <c r="D88" s="5">
        <f t="shared" ref="D88:D113" si="7" xml:space="preserve"> (B88 - 13)  * ((9-2)/27) + 2</f>
        <v>2.5185185185185186</v>
      </c>
    </row>
    <row r="89" spans="1:6">
      <c r="A89" s="4" t="s">
        <v>3</v>
      </c>
      <c r="B89" s="4">
        <v>16</v>
      </c>
      <c r="C89" s="5">
        <f t="shared" si="6"/>
        <v>1</v>
      </c>
      <c r="D89" s="5">
        <f t="shared" si="7"/>
        <v>2.7777777777777777</v>
      </c>
    </row>
    <row r="90" spans="1:6">
      <c r="A90" s="4" t="s">
        <v>3</v>
      </c>
      <c r="B90" s="4">
        <v>17</v>
      </c>
      <c r="C90" s="5">
        <f t="shared" si="6"/>
        <v>1.1666666666666665</v>
      </c>
      <c r="D90" s="5">
        <f t="shared" si="7"/>
        <v>3.0370370370370372</v>
      </c>
    </row>
    <row r="91" spans="1:6">
      <c r="A91" s="4" t="s">
        <v>3</v>
      </c>
      <c r="B91" s="4">
        <v>18</v>
      </c>
      <c r="C91" s="5">
        <f t="shared" si="6"/>
        <v>1.3333333333333333</v>
      </c>
      <c r="D91" s="5">
        <f t="shared" si="7"/>
        <v>3.2962962962962963</v>
      </c>
    </row>
    <row r="92" spans="1:6">
      <c r="A92" s="4" t="s">
        <v>3</v>
      </c>
      <c r="B92" s="4">
        <v>19</v>
      </c>
      <c r="C92" s="5">
        <f t="shared" si="6"/>
        <v>1.5</v>
      </c>
      <c r="D92" s="5">
        <f t="shared" si="7"/>
        <v>3.5555555555555554</v>
      </c>
    </row>
    <row r="93" spans="1:6">
      <c r="A93" s="4" t="s">
        <v>3</v>
      </c>
      <c r="B93" s="4">
        <v>20</v>
      </c>
      <c r="C93" s="5">
        <f t="shared" si="6"/>
        <v>1.6666666666666665</v>
      </c>
      <c r="D93" s="5">
        <f t="shared" si="7"/>
        <v>3.8148148148148149</v>
      </c>
    </row>
    <row r="94" spans="1:6">
      <c r="A94" s="4" t="s">
        <v>3</v>
      </c>
      <c r="B94" s="4">
        <v>21</v>
      </c>
      <c r="C94" s="5">
        <f t="shared" si="6"/>
        <v>1.8333333333333333</v>
      </c>
      <c r="D94" s="5">
        <f t="shared" si="7"/>
        <v>4.0740740740740744</v>
      </c>
    </row>
    <row r="95" spans="1:6">
      <c r="A95" s="4" t="s">
        <v>3</v>
      </c>
      <c r="B95" s="4">
        <v>22</v>
      </c>
      <c r="C95" s="5">
        <f t="shared" si="6"/>
        <v>2</v>
      </c>
      <c r="D95" s="5">
        <f t="shared" si="7"/>
        <v>4.333333333333333</v>
      </c>
    </row>
    <row r="96" spans="1:6">
      <c r="A96" s="4" t="s">
        <v>3</v>
      </c>
      <c r="B96" s="4">
        <v>23</v>
      </c>
      <c r="C96" s="5">
        <f t="shared" si="6"/>
        <v>2.1666666666666665</v>
      </c>
      <c r="D96" s="5">
        <f t="shared" si="7"/>
        <v>4.5925925925925926</v>
      </c>
    </row>
    <row r="97" spans="1:4">
      <c r="A97" s="4" t="s">
        <v>3</v>
      </c>
      <c r="B97" s="4">
        <v>24</v>
      </c>
      <c r="C97" s="5">
        <f t="shared" si="6"/>
        <v>2.333333333333333</v>
      </c>
      <c r="D97" s="5">
        <f t="shared" si="7"/>
        <v>4.8518518518518512</v>
      </c>
    </row>
    <row r="98" spans="1:4">
      <c r="A98" s="4" t="s">
        <v>3</v>
      </c>
      <c r="B98" s="4">
        <v>25</v>
      </c>
      <c r="C98" s="5">
        <f t="shared" si="6"/>
        <v>2.5</v>
      </c>
      <c r="D98" s="5">
        <f t="shared" si="7"/>
        <v>5.1111111111111107</v>
      </c>
    </row>
    <row r="99" spans="1:4">
      <c r="A99" s="4" t="s">
        <v>3</v>
      </c>
      <c r="B99" s="4">
        <v>26</v>
      </c>
      <c r="C99" s="5">
        <f t="shared" si="6"/>
        <v>2.6666666666666665</v>
      </c>
      <c r="D99" s="5">
        <f t="shared" si="7"/>
        <v>5.3703703703703702</v>
      </c>
    </row>
    <row r="100" spans="1:4">
      <c r="A100" s="4" t="s">
        <v>3</v>
      </c>
      <c r="B100" s="4">
        <v>27</v>
      </c>
      <c r="C100" s="5">
        <f t="shared" si="6"/>
        <v>2.833333333333333</v>
      </c>
      <c r="D100" s="5">
        <f t="shared" si="7"/>
        <v>5.6296296296296298</v>
      </c>
    </row>
    <row r="101" spans="1:4">
      <c r="A101" s="4" t="s">
        <v>3</v>
      </c>
      <c r="B101" s="4">
        <v>28</v>
      </c>
      <c r="C101" s="5">
        <f t="shared" si="6"/>
        <v>3</v>
      </c>
      <c r="D101" s="5">
        <f t="shared" si="7"/>
        <v>5.8888888888888893</v>
      </c>
    </row>
    <row r="102" spans="1:4">
      <c r="A102" s="4" t="s">
        <v>3</v>
      </c>
      <c r="B102" s="4">
        <v>29</v>
      </c>
      <c r="C102" s="5">
        <f t="shared" si="6"/>
        <v>3.1666666666666665</v>
      </c>
      <c r="D102" s="5">
        <f t="shared" si="7"/>
        <v>6.1481481481481479</v>
      </c>
    </row>
    <row r="103" spans="1:4">
      <c r="A103" s="4" t="s">
        <v>3</v>
      </c>
      <c r="B103" s="4">
        <v>30</v>
      </c>
      <c r="C103" s="5">
        <f t="shared" si="6"/>
        <v>3.333333333333333</v>
      </c>
      <c r="D103" s="5">
        <f t="shared" si="7"/>
        <v>6.4074074074074074</v>
      </c>
    </row>
    <row r="104" spans="1:4">
      <c r="A104" s="4" t="s">
        <v>3</v>
      </c>
      <c r="B104" s="4">
        <v>31</v>
      </c>
      <c r="C104" s="5">
        <f t="shared" si="6"/>
        <v>3.5</v>
      </c>
      <c r="D104" s="5">
        <f t="shared" si="7"/>
        <v>6.6666666666666661</v>
      </c>
    </row>
    <row r="105" spans="1:4">
      <c r="A105" s="4" t="s">
        <v>3</v>
      </c>
      <c r="B105" s="4">
        <v>32</v>
      </c>
      <c r="C105" s="5">
        <f t="shared" si="6"/>
        <v>3.6666666666666665</v>
      </c>
      <c r="D105" s="5">
        <f t="shared" si="7"/>
        <v>6.9259259259259256</v>
      </c>
    </row>
    <row r="106" spans="1:4">
      <c r="A106" s="4" t="s">
        <v>3</v>
      </c>
      <c r="B106" s="4">
        <v>33</v>
      </c>
      <c r="C106" s="5">
        <f t="shared" si="6"/>
        <v>3.833333333333333</v>
      </c>
      <c r="D106" s="5">
        <f t="shared" si="7"/>
        <v>7.1851851851851851</v>
      </c>
    </row>
    <row r="107" spans="1:4">
      <c r="A107" s="4" t="s">
        <v>3</v>
      </c>
      <c r="B107" s="4">
        <v>34</v>
      </c>
      <c r="C107" s="5">
        <f t="shared" si="6"/>
        <v>4</v>
      </c>
      <c r="D107" s="5">
        <f t="shared" si="7"/>
        <v>7.4444444444444438</v>
      </c>
    </row>
    <row r="108" spans="1:4">
      <c r="A108" s="4" t="s">
        <v>3</v>
      </c>
      <c r="B108" s="4">
        <v>35</v>
      </c>
      <c r="C108" s="5">
        <f t="shared" si="6"/>
        <v>4.1666666666666661</v>
      </c>
      <c r="D108" s="5">
        <f t="shared" si="7"/>
        <v>7.7037037037037033</v>
      </c>
    </row>
    <row r="109" spans="1:4">
      <c r="A109" s="4" t="s">
        <v>3</v>
      </c>
      <c r="B109" s="4">
        <v>36</v>
      </c>
      <c r="C109" s="5">
        <f t="shared" si="6"/>
        <v>4.333333333333333</v>
      </c>
      <c r="D109" s="5">
        <f t="shared" si="7"/>
        <v>7.9629629629629628</v>
      </c>
    </row>
    <row r="110" spans="1:4">
      <c r="A110" s="4" t="s">
        <v>3</v>
      </c>
      <c r="B110" s="4">
        <v>37</v>
      </c>
      <c r="C110" s="5">
        <f t="shared" si="6"/>
        <v>4.5</v>
      </c>
      <c r="D110" s="5">
        <f t="shared" si="7"/>
        <v>8.2222222222222214</v>
      </c>
    </row>
    <row r="111" spans="1:4">
      <c r="A111" s="4" t="s">
        <v>3</v>
      </c>
      <c r="B111" s="4">
        <v>38</v>
      </c>
      <c r="C111" s="5">
        <f t="shared" si="6"/>
        <v>4.6666666666666661</v>
      </c>
      <c r="D111" s="5">
        <f t="shared" si="7"/>
        <v>8.481481481481481</v>
      </c>
    </row>
    <row r="112" spans="1:4">
      <c r="A112" s="4" t="s">
        <v>3</v>
      </c>
      <c r="B112" s="4">
        <v>39</v>
      </c>
      <c r="C112" s="5">
        <f t="shared" si="6"/>
        <v>4.833333333333333</v>
      </c>
      <c r="D112" s="5">
        <f t="shared" si="7"/>
        <v>8.7407407407407405</v>
      </c>
    </row>
    <row r="113" spans="1:4">
      <c r="A113" s="4" t="s">
        <v>3</v>
      </c>
      <c r="B113" s="4">
        <v>40</v>
      </c>
      <c r="C113" s="5">
        <f t="shared" si="6"/>
        <v>5</v>
      </c>
      <c r="D113" s="5">
        <f t="shared" si="7"/>
        <v>9</v>
      </c>
    </row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Rangel Bousquet Carrilho</dc:creator>
  <cp:lastModifiedBy>Thais Rangel Bousquet Carrilho</cp:lastModifiedBy>
  <dcterms:created xsi:type="dcterms:W3CDTF">2025-10-01T18:58:26Z</dcterms:created>
  <dcterms:modified xsi:type="dcterms:W3CDTF">2026-03-26T18:35:12Z</dcterms:modified>
</cp:coreProperties>
</file>